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pruebas" sheetId="1" r:id="rId4"/>
    <sheet state="visible" name="Control" sheetId="2" r:id="rId5"/>
  </sheets>
  <definedNames/>
  <calcPr/>
  <extLst>
    <ext uri="GoogleSheetsCustomDataVersion2">
      <go:sheetsCustomData xmlns:go="http://customooxmlschemas.google.com/" r:id="rId6" roundtripDataChecksum="ATTIjJg+7b/taiTOpP/z6VIrmJODif8+Y0YhWhdMEXk="/>
    </ext>
  </extLst>
</workbook>
</file>

<file path=xl/sharedStrings.xml><?xml version="1.0" encoding="utf-8"?>
<sst xmlns="http://schemas.openxmlformats.org/spreadsheetml/2006/main" count="267" uniqueCount="158">
  <si>
    <t>Nombre del Proyecto:</t>
  </si>
  <si>
    <t>TECHOCHILE</t>
  </si>
  <si>
    <t>Ambiente de Pruebas:</t>
  </si>
  <si>
    <t>Página Web</t>
  </si>
  <si>
    <t>Autor del Caso de Prueba</t>
  </si>
  <si>
    <t>Id Caso Prueba</t>
  </si>
  <si>
    <t>Id Historia de Usuario</t>
  </si>
  <si>
    <t>Identificador de la historia</t>
  </si>
  <si>
    <t>Nombre del Caso de Prueba</t>
  </si>
  <si>
    <t>Técnica de diseño</t>
  </si>
  <si>
    <t>Próposito</t>
  </si>
  <si>
    <t>N° de la Acción</t>
  </si>
  <si>
    <t>Acciones</t>
  </si>
  <si>
    <t>Salida Esperada</t>
  </si>
  <si>
    <t>Salida Obtenida</t>
  </si>
  <si>
    <t>Resultado obtenido</t>
  </si>
  <si>
    <t>Seguimiento</t>
  </si>
  <si>
    <t>Severidad</t>
  </si>
  <si>
    <t>Evidencia</t>
  </si>
  <si>
    <t>Responsable de Ejecucion</t>
  </si>
  <si>
    <t>Aprobado</t>
  </si>
  <si>
    <t>Fecha de Revisión</t>
  </si>
  <si>
    <t>Jaime Aravena</t>
  </si>
  <si>
    <t>CP-001</t>
  </si>
  <si>
    <t>TECHO-HU-01</t>
  </si>
  <si>
    <t>Crear observación</t>
  </si>
  <si>
    <t>Validar creación de observación de vivienda</t>
  </si>
  <si>
    <t>Caja Negra</t>
  </si>
  <si>
    <t>Asegurar que las observaciones de vivienda se registren correctamente en el sistema.</t>
  </si>
  <si>
    <t>Completar formulario con proyecto, vivienda, tipo y descripción; guardar.</t>
  </si>
  <si>
    <t>Observación registrada con estado “Abierta”, fecha, hora y autor.</t>
  </si>
  <si>
    <t>Se logró crear una observación de vivienda desde el formulario, quedando visible con estado “Abierta”.</t>
  </si>
  <si>
    <t>No se requiere seguimiento</t>
  </si>
  <si>
    <t>Alta</t>
  </si>
  <si>
    <t>Captura de pantalla. Adjuntada</t>
  </si>
  <si>
    <t>Si</t>
  </si>
  <si>
    <t>Sebastián Rebolledo</t>
  </si>
  <si>
    <t>CP-002</t>
  </si>
  <si>
    <t>TECHO-HU-02</t>
  </si>
  <si>
    <t>Adjuntar evidencias</t>
  </si>
  <si>
    <t>Validar carga de evidencias en observación</t>
  </si>
  <si>
    <t>Verificar que se puedan adjuntar evidencias (imágenes o documentos) a una observación.</t>
  </si>
  <si>
    <t>Subir imagen o PDF desde el módulo de observaciones.</t>
  </si>
  <si>
    <t>Archivos cargados correctamente, disponibles para vista previa/descarga.</t>
  </si>
  <si>
    <t>Se logró adjuntar correctamente la evidencia a la observación y visualizarla.</t>
  </si>
  <si>
    <t>Media</t>
  </si>
  <si>
    <t>Rodrigo Faundez</t>
  </si>
  <si>
    <t>CP-003</t>
  </si>
  <si>
    <t>TECHO-HU-03</t>
  </si>
  <si>
    <t>Alertas SLA</t>
  </si>
  <si>
    <t>Validar semáforo y alertas de vencimiento</t>
  </si>
  <si>
    <t>Validar el correcto funcionamiento de alertas y semáforo de SLA en observaciones.</t>
  </si>
  <si>
    <t>Generar observaciones con distintos SLA y revisar alertas.</t>
  </si>
  <si>
    <t>Colores verde/amarillo/rojo y notificación 24 h antes del vencimiento.</t>
  </si>
  <si>
    <t>Se visualizaron los colores de alerta según el tiempo de vencimiento configurado.</t>
  </si>
  <si>
    <t>CP-004</t>
  </si>
  <si>
    <t>TECHO-HU-04</t>
  </si>
  <si>
    <t>Cambiar estado observación</t>
  </si>
  <si>
    <t>Validar flujo de estados</t>
  </si>
  <si>
    <t>Comprobar que los estados de las observaciones puedan cambiar correctamente.</t>
  </si>
  <si>
    <t>Cambiar estado de Abierta → En Proceso → Resuelta → Cerrada.</t>
  </si>
  <si>
    <t>Estados actualizados; “Cerrada” requiere nota y evidencia.</t>
  </si>
  <si>
    <t>Se verificó el cambio de estados de la observación según el flujo definido.</t>
  </si>
  <si>
    <t>CP-005</t>
  </si>
  <si>
    <t>TECHO-HU-05</t>
  </si>
  <si>
    <t>Exportar observaciones</t>
  </si>
  <si>
    <t>Validar exportación de reportes</t>
  </si>
  <si>
    <t>Verificar que las observaciones se puedan exportar en formatos PDF o CSV.</t>
  </si>
  <si>
    <t>Usar opción Exportar PDF/CSV con filtros activos.</t>
  </si>
  <si>
    <t>Archivo generado con totales y encabezado de proyecto.</t>
  </si>
  <si>
    <t>No se visualiza actualmente la opción de exportación en el módulo correspondiente.</t>
  </si>
  <si>
    <t>CP-006</t>
  </si>
  <si>
    <t>TECHO-HU-06</t>
  </si>
  <si>
    <t>Gestión viviendas</t>
  </si>
  <si>
    <t>Validar CRUD de viviendas</t>
  </si>
  <si>
    <t>Validar que se puedan gestionar las viviendas mediante funciones de crear, editar y eliminar.</t>
  </si>
  <si>
    <t>Crear, editar y eliminar viviendas desde módulo Administración.</t>
  </si>
  <si>
    <t>Operaciones reflejadas en BD; registro de auditoría correcto.</t>
  </si>
  <si>
    <t>No se visualiza barra de buscador por palabras claves</t>
  </si>
  <si>
    <t>Yaritza Toro</t>
  </si>
  <si>
    <t>CP-007</t>
  </si>
  <si>
    <t>TECHO-HU-07</t>
  </si>
  <si>
    <t>Historial observaciones</t>
  </si>
  <si>
    <t>Validar consulta de historial</t>
  </si>
  <si>
    <t>Verificar que el sistema muestre el historial de observaciones de una vivienda.</t>
  </si>
  <si>
    <t>Abrir detalle de vivienda y revisar historial.</t>
  </si>
  <si>
    <t>Listado cronológico con estados y responsables.</t>
  </si>
  <si>
    <t>Se visualiza la creación de categorias y el orden por su clasificación.</t>
  </si>
  <si>
    <t>CP-008</t>
  </si>
  <si>
    <t>TECHO-HU-08</t>
  </si>
  <si>
    <t>Asignar responsable</t>
  </si>
  <si>
    <t>Validar asignación de usuario</t>
  </si>
  <si>
    <t>Validar que se pueda asignar un responsable a una observación.</t>
  </si>
  <si>
    <t>Asignar observación a un responsable desde lista desplegable.</t>
  </si>
  <si>
    <t>Observación actualiza responsable y envía notificación.</t>
  </si>
  <si>
    <t>No se visualiza el filtro de búsqueda avanzada</t>
  </si>
  <si>
    <t>CP-009</t>
  </si>
  <si>
    <t>TECHO-HU-09</t>
  </si>
  <si>
    <t>Reportes estadísticos</t>
  </si>
  <si>
    <t>Validar generación de gráficos</t>
  </si>
  <si>
    <t>Verificar la generación de reportes y gráficos estadísticos de las observaciones.</t>
  </si>
  <si>
    <t>Generar dashboard de observaciones por estado y comuna.</t>
  </si>
  <si>
    <t>Gráficos y promedios de cierre correctos; exportación PDF funcional.</t>
  </si>
  <si>
    <t>Se visualiza el proceso de compra de manera correcta y se puede observar la boleta generada por los artículos seleccionados.</t>
  </si>
  <si>
    <t>CP-010</t>
  </si>
  <si>
    <t>TECHO-HU-10</t>
  </si>
  <si>
    <t>Roles y permisos</t>
  </si>
  <si>
    <t>Validar gestión de roles</t>
  </si>
  <si>
    <t>Validar que el sistema permita gestionar los roles y permisos de los usuarios.</t>
  </si>
  <si>
    <t>Crear, editar y asignar roles de usuario.</t>
  </si>
  <si>
    <t>Permisos aplicados según rol; acceso inmediato reflejado.</t>
  </si>
  <si>
    <t>No se visualiza las opciones de envío</t>
  </si>
  <si>
    <t>CP-011</t>
  </si>
  <si>
    <t>TECHO-HU-11</t>
  </si>
  <si>
    <t>Ubicaciones</t>
  </si>
  <si>
    <t>Validar registro de Ubicaciones</t>
  </si>
  <si>
    <t>Verificar el registro de ubicaciones geográficas asociadas a las viviendas.</t>
  </si>
  <si>
    <t>Registrar coordenadas desde dispositivo con GPS activo.</t>
  </si>
  <si>
    <t>Coordenadas capturadas y visibles en mapa.</t>
  </si>
  <si>
    <t>Se visualiza la opción de seleccionar método de pago</t>
  </si>
  <si>
    <t>CP-012</t>
  </si>
  <si>
    <t>TECHO-HU-12</t>
  </si>
  <si>
    <t>Dashboard general</t>
  </si>
  <si>
    <t>Validar tablero visual</t>
  </si>
  <si>
    <t>Validar la correcta visualización del dashboard general del sistema.</t>
  </si>
  <si>
    <t>Acceder al módulo Dashboard.</t>
  </si>
  <si>
    <t>KPIs y gráficos dinámicos actualizados en tiempo real.</t>
  </si>
  <si>
    <t>No se visualiza la notificación de compra al correo electrónico</t>
  </si>
  <si>
    <t>CP-013</t>
  </si>
  <si>
    <t>TECHO-HU-13</t>
  </si>
  <si>
    <t>Comentarios seguimiento</t>
  </si>
  <si>
    <t>Validar registro de comentarios</t>
  </si>
  <si>
    <t>Verificar que se puedan agregar comentarios de seguimiento a una observación.</t>
  </si>
  <si>
    <t>Ingresar comentario en observación abierta.</t>
  </si>
  <si>
    <t>Comentario guardado con autor, fecha y notificación al responsable.</t>
  </si>
  <si>
    <t>No se visualiza el botón de impresión de boleta</t>
  </si>
  <si>
    <t>CP-014</t>
  </si>
  <si>
    <t>TECHO-HU-14</t>
  </si>
  <si>
    <t>Filtro observaciones</t>
  </si>
  <si>
    <t>Validar filtros y priorización</t>
  </si>
  <si>
    <t>Verificar que los filtros de búsqueda de observaciones funcionen correctamente.</t>
  </si>
  <si>
    <t>Aplicar filtros por comuna y tipo; ordenar resultados.</t>
  </si>
  <si>
    <t>Resultados correctos y ordenados por prioridad; exportación activa.</t>
  </si>
  <si>
    <t>Se visualiza el numero correcto de productos</t>
  </si>
  <si>
    <t>Resultado Obtenido</t>
  </si>
  <si>
    <t>Total casos que ejecuto cada 
Integrante del Equipo</t>
  </si>
  <si>
    <t>Casos Aprobados</t>
  </si>
  <si>
    <t>No Ejecutado</t>
  </si>
  <si>
    <t>En Seguimiento</t>
  </si>
  <si>
    <t>No Aprobado</t>
  </si>
  <si>
    <t>Rechazado</t>
  </si>
  <si>
    <t>Obsoleto</t>
  </si>
  <si>
    <t>Test. en Mockup</t>
  </si>
  <si>
    <t>No Test. en Mockup</t>
  </si>
  <si>
    <t>Total Casos</t>
  </si>
  <si>
    <t>Total de casos</t>
  </si>
  <si>
    <t>% Aprobacion</t>
  </si>
  <si>
    <t>Avance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</si>
</sst>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rgb="FFFFFFFF"/>
      <name val="Montserrat"/>
    </font>
    <font>
      <sz val="11.0"/>
      <color theme="1"/>
      <name val="Montserrat"/>
    </font>
    <font>
      <b/>
      <sz val="11.0"/>
      <color theme="1"/>
      <name val="Montserrat"/>
    </font>
    <font>
      <b/>
      <sz val="14.0"/>
      <color rgb="FFFFFFFF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31">
    <border/>
    <border>
      <left/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B5394"/>
      </left>
      <top style="medium">
        <color rgb="FF0B5394"/>
      </top>
      <bottom/>
    </border>
    <border>
      <right style="medium">
        <color rgb="FF0B5394"/>
      </right>
      <top style="medium">
        <color rgb="FF0B5394"/>
      </top>
      <bottom/>
    </border>
    <border>
      <left style="medium">
        <color rgb="FF0B5394"/>
      </left>
      <top style="medium">
        <color rgb="FF0B5394"/>
      </top>
    </border>
    <border>
      <top style="medium">
        <color rgb="FF0B5394"/>
      </top>
    </border>
    <border>
      <right style="medium">
        <color rgb="FF0B5394"/>
      </right>
      <top style="medium">
        <color rgb="FF0B5394"/>
      </top>
    </border>
    <border>
      <left style="medium">
        <color rgb="FF0B5394"/>
      </left>
      <right style="thin">
        <color rgb="FF0B5394"/>
      </right>
      <top style="thin">
        <color rgb="FF0B5394"/>
      </top>
      <bottom style="thin">
        <color rgb="FF0B5394"/>
      </bottom>
    </border>
    <border>
      <left style="thin">
        <color rgb="FF0B5394"/>
      </left>
      <right style="medium">
        <color rgb="FF0B5394"/>
      </right>
      <top style="thin">
        <color rgb="FF0B5394"/>
      </top>
      <bottom style="thin">
        <color rgb="FF0B5394"/>
      </bottom>
    </border>
    <border>
      <left style="medium">
        <color rgb="FF0B5394"/>
      </left>
      <bottom/>
    </border>
    <border>
      <bottom/>
    </border>
    <border>
      <right style="medium">
        <color rgb="FF0B5394"/>
      </right>
      <bottom/>
    </border>
    <border>
      <left style="medium">
        <color rgb="FF0B5394"/>
      </left>
      <top style="thin">
        <color rgb="FF0B5394"/>
      </top>
      <bottom style="thin">
        <color rgb="FF0B5394"/>
      </bottom>
    </border>
    <border>
      <right style="thin">
        <color rgb="FF0B5394"/>
      </right>
      <top style="thin">
        <color rgb="FF0B5394"/>
      </top>
      <bottom style="thin">
        <color rgb="FF0B5394"/>
      </bottom>
    </border>
    <border>
      <left style="medium">
        <color rgb="FF0B5394"/>
      </left>
      <top style="thin">
        <color rgb="FF0B5394"/>
      </top>
      <bottom style="medium">
        <color rgb="FF0B5394"/>
      </bottom>
    </border>
    <border>
      <right style="thin">
        <color rgb="FF0B5394"/>
      </right>
      <top style="thin">
        <color rgb="FF0B5394"/>
      </top>
      <bottom style="medium">
        <color rgb="FF0B5394"/>
      </bottom>
    </border>
    <border>
      <left style="thin">
        <color rgb="FF0B5394"/>
      </left>
      <right style="medium">
        <color rgb="FF0B5394"/>
      </right>
      <top style="thin">
        <color rgb="FF0B5394"/>
      </top>
      <bottom style="medium">
        <color rgb="FF0B5394"/>
      </bottom>
    </border>
    <border>
      <left style="medium">
        <color rgb="FF0B5394"/>
      </left>
      <right style="thin">
        <color rgb="FF0B5394"/>
      </right>
      <top style="thin">
        <color rgb="FF0B5394"/>
      </top>
      <bottom style="medium">
        <color rgb="FF0B5394"/>
      </bottom>
    </border>
    <border>
      <left style="medium">
        <color rgb="FF0B5394"/>
      </left>
      <top style="medium">
        <color rgb="FF0B5394"/>
      </top>
      <bottom style="medium">
        <color rgb="FF0B5394"/>
      </bottom>
    </border>
    <border>
      <right style="thin">
        <color rgb="FF0B5394"/>
      </right>
      <top style="medium">
        <color rgb="FF0B5394"/>
      </top>
      <bottom style="medium">
        <color rgb="FF0B5394"/>
      </bottom>
    </border>
    <border>
      <left style="thin">
        <color rgb="FF0B5394"/>
      </left>
      <right style="medium">
        <color rgb="FF0B5394"/>
      </right>
      <top style="medium">
        <color rgb="FF0B5394"/>
      </top>
      <bottom style="medium">
        <color rgb="FF0B5394"/>
      </bottom>
    </border>
    <border>
      <left style="medium">
        <color rgb="FF0B5394"/>
      </left>
      <right style="thin">
        <color rgb="FF0B5394"/>
      </right>
      <top style="medium">
        <color rgb="FF0B5394"/>
      </top>
      <bottom style="medium">
        <color rgb="FF0B5394"/>
      </bottom>
    </border>
    <border>
      <left/>
      <top/>
    </border>
    <border>
      <right/>
      <top/>
    </border>
    <border>
      <left/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Border="1" applyFont="1"/>
    <xf borderId="3" fillId="2" fontId="1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3" numFmtId="164" xfId="0" applyAlignment="1" applyBorder="1" applyFont="1" applyNumberFormat="1">
      <alignment shrinkToFit="0" vertical="center" wrapText="1"/>
    </xf>
    <xf borderId="0" fillId="0" fontId="3" numFmtId="0" xfId="0" applyFont="1"/>
    <xf borderId="6" fillId="4" fontId="6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3" fillId="5" fontId="7" numFmtId="0" xfId="0" applyAlignment="1" applyBorder="1" applyFill="1" applyFont="1">
      <alignment shrinkToFit="0" vertical="center" wrapText="1"/>
    </xf>
    <xf borderId="8" fillId="4" fontId="6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0" fillId="0" fontId="7" numFmtId="0" xfId="0" applyAlignment="1" applyFont="1">
      <alignment shrinkToFit="0" vertical="center" wrapText="1"/>
    </xf>
    <xf borderId="11" fillId="5" fontId="7" numFmtId="0" xfId="0" applyAlignment="1" applyBorder="1" applyFont="1">
      <alignment shrinkToFit="0" vertical="center" wrapText="1"/>
    </xf>
    <xf borderId="12" fillId="5" fontId="7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5" fontId="7" numFmtId="0" xfId="0" applyAlignment="1" applyBorder="1" applyFont="1">
      <alignment shrinkToFit="0" vertical="center" wrapText="1"/>
    </xf>
    <xf borderId="17" fillId="0" fontId="2" numFmtId="0" xfId="0" applyBorder="1" applyFont="1"/>
    <xf borderId="12" fillId="5" fontId="7" numFmtId="0" xfId="0" applyAlignment="1" applyBorder="1" applyFont="1">
      <alignment horizontal="right" shrinkToFit="0" vertical="center" wrapText="1"/>
    </xf>
    <xf borderId="3" fillId="5" fontId="7" numFmtId="0" xfId="0" applyAlignment="1" applyBorder="1" applyFont="1">
      <alignment horizontal="right" shrinkToFit="0" vertical="center" wrapText="1"/>
    </xf>
    <xf borderId="18" fillId="5" fontId="7" numFmtId="0" xfId="0" applyAlignment="1" applyBorder="1" applyFont="1">
      <alignment shrinkToFit="0" vertical="center" wrapText="1"/>
    </xf>
    <xf borderId="19" fillId="0" fontId="2" numFmtId="0" xfId="0" applyBorder="1" applyFont="1"/>
    <xf borderId="20" fillId="5" fontId="7" numFmtId="0" xfId="0" applyAlignment="1" applyBorder="1" applyFont="1">
      <alignment horizontal="right" shrinkToFit="0" vertical="center" wrapText="1"/>
    </xf>
    <xf borderId="21" fillId="5" fontId="7" numFmtId="0" xfId="0" applyAlignment="1" applyBorder="1" applyFont="1">
      <alignment shrinkToFit="0" vertical="center" wrapText="1"/>
    </xf>
    <xf borderId="20" fillId="5" fontId="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right" shrinkToFit="0" vertical="center" wrapText="1"/>
    </xf>
    <xf borderId="23" fillId="0" fontId="2" numFmtId="0" xfId="0" applyBorder="1" applyFont="1"/>
    <xf borderId="24" fillId="0" fontId="8" numFmtId="0" xfId="0" applyAlignment="1" applyBorder="1" applyFont="1">
      <alignment horizontal="right" shrinkToFit="0" vertical="center" wrapText="1"/>
    </xf>
    <xf borderId="25" fillId="5" fontId="8" numFmtId="0" xfId="0" applyAlignment="1" applyBorder="1" applyFont="1">
      <alignment horizontal="right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26" fillId="4" fontId="9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4" fillId="4" fontId="9" numFmtId="10" xfId="0" applyAlignment="1" applyBorder="1" applyFont="1" applyNumberForma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434343"/>
                </a:solidFill>
                <a:latin typeface="Roboto"/>
              </a:defRPr>
            </a:pPr>
            <a:r>
              <a:rPr b="0" i="0" sz="2000">
                <a:solidFill>
                  <a:srgbClr val="434343"/>
                </a:solidFill>
                <a:latin typeface="Roboto"/>
              </a:rPr>
              <a:t>Resultado Obtenido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Control!$B$1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9999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F9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900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Control!$A$2:$A$8</c:f>
            </c:strRef>
          </c:cat>
          <c:val>
            <c:numRef>
              <c:f>Control!$B$2:$B$8</c:f>
              <c:numCache/>
            </c:numRef>
          </c:val>
        </c:ser>
        <c:axId val="1243422238"/>
        <c:axId val="495928848"/>
      </c:barChart>
      <c:catAx>
        <c:axId val="12434222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Resultado Obtenido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95928848"/>
      </c:catAx>
      <c:valAx>
        <c:axId val="4959288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4342223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434343"/>
                </a:solidFill>
                <a:latin typeface="Roboto"/>
              </a:defRPr>
            </a:pPr>
            <a:r>
              <a:rPr b="0" i="0">
                <a:solidFill>
                  <a:srgbClr val="434343"/>
                </a:solidFill>
                <a:latin typeface="Roboto"/>
              </a:rPr>
              <a:t>Responsables de Ejecución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casos que ejecuto cada 
Integrante del Equipo</c:v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741B47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Control!$D$3:$D$6</c:f>
            </c:strRef>
          </c:cat>
          <c:val>
            <c:numRef>
              <c:f>Control!$E$3:$E$6</c:f>
              <c:numCache/>
            </c:numRef>
          </c:val>
        </c:ser>
        <c:ser>
          <c:idx val="1"/>
          <c:order val="1"/>
          <c:tx>
            <c:strRef>
              <c:f>Control!$F$1:$F$2</c:f>
            </c:strRef>
          </c:tx>
          <c:cat>
            <c:strRef>
              <c:f>Control!$D$3:$D$6</c:f>
            </c:strRef>
          </c:cat>
          <c:val>
            <c:numRef>
              <c:f>Control!$F$3:$F$6</c:f>
              <c:numCache/>
            </c:numRef>
          </c:val>
        </c:ser>
        <c:axId val="1265362611"/>
        <c:axId val="1567539"/>
      </c:barChart>
      <c:catAx>
        <c:axId val="1265362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7539"/>
      </c:catAx>
      <c:valAx>
        <c:axId val="1567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653626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434343"/>
                </a:solidFill>
                <a:latin typeface="Roboto"/>
              </a:defRPr>
            </a:pPr>
            <a:r>
              <a:rPr b="0" i="0" sz="2000">
                <a:solidFill>
                  <a:srgbClr val="434343"/>
                </a:solidFill>
                <a:latin typeface="Roboto"/>
              </a:rPr>
              <a:t>Casos de Prueba Aprobados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Control!$I$1:$I$2</c:f>
            </c:strRef>
          </c:tx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99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Control!$H$3:$H$4</c:f>
            </c:strRef>
          </c:cat>
          <c:val>
            <c:numRef>
              <c:f>Control!$I$3:$I$4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228600</xdr:rowOff>
    </xdr:from>
    <xdr:ext cx="5715000" cy="3533775"/>
    <xdr:graphicFrame>
      <xdr:nvGraphicFramePr>
        <xdr:cNvPr id="155070623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3486150</xdr:colOff>
      <xdr:row>13</xdr:row>
      <xdr:rowOff>219075</xdr:rowOff>
    </xdr:from>
    <xdr:ext cx="5715000" cy="3533775"/>
    <xdr:graphicFrame>
      <xdr:nvGraphicFramePr>
        <xdr:cNvPr id="84608159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9525</xdr:colOff>
      <xdr:row>13</xdr:row>
      <xdr:rowOff>219075</xdr:rowOff>
    </xdr:from>
    <xdr:ext cx="5715000" cy="3533775"/>
    <xdr:graphicFrame>
      <xdr:nvGraphicFramePr>
        <xdr:cNvPr id="98015843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21.57"/>
    <col customWidth="1" min="2" max="2" width="12.86"/>
    <col customWidth="1" min="3" max="3" width="18.43"/>
    <col customWidth="1" min="4" max="4" width="23.0"/>
    <col customWidth="1" min="5" max="5" width="35.29"/>
    <col customWidth="1" min="6" max="6" width="15.14"/>
    <col customWidth="1" min="7" max="7" width="93.43"/>
    <col customWidth="1" min="8" max="8" width="13.0"/>
    <col customWidth="1" min="9" max="10" width="58.86"/>
    <col customWidth="1" min="11" max="11" width="73.43"/>
    <col customWidth="1" min="12" max="12" width="17.14"/>
    <col customWidth="1" min="13" max="13" width="22.43"/>
    <col customWidth="1" min="14" max="14" width="8.86"/>
    <col customWidth="1" min="15" max="15" width="25.43"/>
    <col customWidth="1" min="16" max="16" width="21.86"/>
    <col customWidth="1" min="17" max="17" width="8.86"/>
    <col customWidth="1" min="18" max="18" width="15.29"/>
  </cols>
  <sheetData>
    <row r="1" ht="14.2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4.25" customHeight="1">
      <c r="A2" s="1" t="s">
        <v>2</v>
      </c>
      <c r="B2" s="2"/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4.25" customHeight="1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6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  <c r="R4" s="5" t="s">
        <v>21</v>
      </c>
    </row>
    <row r="5" ht="14.25" customHeight="1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8" t="s">
        <v>28</v>
      </c>
      <c r="H5" s="9">
        <v>1.0</v>
      </c>
      <c r="I5" s="7" t="s">
        <v>29</v>
      </c>
      <c r="J5" s="7" t="s">
        <v>30</v>
      </c>
      <c r="K5" s="10" t="s">
        <v>31</v>
      </c>
      <c r="L5" s="7" t="s">
        <v>20</v>
      </c>
      <c r="M5" s="7" t="s">
        <v>32</v>
      </c>
      <c r="N5" s="7" t="s">
        <v>33</v>
      </c>
      <c r="O5" s="7" t="s">
        <v>34</v>
      </c>
      <c r="P5" s="7" t="s">
        <v>22</v>
      </c>
      <c r="Q5" s="7" t="s">
        <v>35</v>
      </c>
      <c r="R5" s="11">
        <v>45972.0</v>
      </c>
    </row>
    <row r="6" ht="14.25" customHeight="1">
      <c r="A6" s="7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27</v>
      </c>
      <c r="G6" s="8" t="s">
        <v>41</v>
      </c>
      <c r="H6" s="9">
        <v>1.0</v>
      </c>
      <c r="I6" s="7" t="s">
        <v>42</v>
      </c>
      <c r="J6" s="7" t="s">
        <v>43</v>
      </c>
      <c r="K6" s="10" t="s">
        <v>44</v>
      </c>
      <c r="L6" s="7" t="s">
        <v>20</v>
      </c>
      <c r="M6" s="7" t="s">
        <v>32</v>
      </c>
      <c r="N6" s="7" t="s">
        <v>45</v>
      </c>
      <c r="O6" s="7" t="s">
        <v>34</v>
      </c>
      <c r="P6" s="7" t="s">
        <v>36</v>
      </c>
      <c r="Q6" s="7" t="s">
        <v>35</v>
      </c>
      <c r="R6" s="11">
        <v>45972.0</v>
      </c>
    </row>
    <row r="7" ht="14.25" customHeight="1">
      <c r="A7" s="7" t="s">
        <v>46</v>
      </c>
      <c r="B7" s="7" t="s">
        <v>47</v>
      </c>
      <c r="C7" s="7" t="s">
        <v>48</v>
      </c>
      <c r="D7" s="7" t="s">
        <v>49</v>
      </c>
      <c r="E7" s="7" t="s">
        <v>50</v>
      </c>
      <c r="F7" s="7" t="s">
        <v>27</v>
      </c>
      <c r="G7" s="8" t="s">
        <v>51</v>
      </c>
      <c r="H7" s="9">
        <v>1.0</v>
      </c>
      <c r="I7" s="7" t="s">
        <v>52</v>
      </c>
      <c r="J7" s="7" t="s">
        <v>53</v>
      </c>
      <c r="K7" s="10" t="s">
        <v>54</v>
      </c>
      <c r="L7" s="7" t="s">
        <v>20</v>
      </c>
      <c r="M7" s="7" t="s">
        <v>32</v>
      </c>
      <c r="N7" s="7" t="s">
        <v>33</v>
      </c>
      <c r="O7" s="7" t="s">
        <v>34</v>
      </c>
      <c r="P7" s="7" t="s">
        <v>46</v>
      </c>
      <c r="Q7" s="7" t="s">
        <v>35</v>
      </c>
      <c r="R7" s="11">
        <v>45972.0</v>
      </c>
    </row>
    <row r="8" ht="14.25" customHeight="1">
      <c r="A8" s="7" t="s">
        <v>36</v>
      </c>
      <c r="B8" s="7" t="s">
        <v>55</v>
      </c>
      <c r="C8" s="7" t="s">
        <v>56</v>
      </c>
      <c r="D8" s="7" t="s">
        <v>57</v>
      </c>
      <c r="E8" s="7" t="s">
        <v>58</v>
      </c>
      <c r="F8" s="7" t="s">
        <v>27</v>
      </c>
      <c r="G8" s="8" t="s">
        <v>59</v>
      </c>
      <c r="H8" s="9">
        <v>1.0</v>
      </c>
      <c r="I8" s="7" t="s">
        <v>60</v>
      </c>
      <c r="J8" s="7" t="s">
        <v>61</v>
      </c>
      <c r="K8" s="10" t="s">
        <v>62</v>
      </c>
      <c r="L8" s="7" t="s">
        <v>20</v>
      </c>
      <c r="M8" s="7" t="s">
        <v>32</v>
      </c>
      <c r="N8" s="7" t="s">
        <v>33</v>
      </c>
      <c r="O8" s="7" t="s">
        <v>34</v>
      </c>
      <c r="P8" s="7" t="s">
        <v>36</v>
      </c>
      <c r="Q8" s="7" t="s">
        <v>35</v>
      </c>
      <c r="R8" s="11">
        <v>45972.0</v>
      </c>
    </row>
    <row r="9" ht="14.25" customHeight="1">
      <c r="A9" s="7" t="s">
        <v>22</v>
      </c>
      <c r="B9" s="7" t="s">
        <v>63</v>
      </c>
      <c r="C9" s="7" t="s">
        <v>64</v>
      </c>
      <c r="D9" s="7" t="s">
        <v>65</v>
      </c>
      <c r="E9" s="7" t="s">
        <v>66</v>
      </c>
      <c r="F9" s="7" t="s">
        <v>27</v>
      </c>
      <c r="G9" s="8" t="s">
        <v>67</v>
      </c>
      <c r="H9" s="9">
        <v>1.0</v>
      </c>
      <c r="I9" s="7" t="s">
        <v>68</v>
      </c>
      <c r="J9" s="7" t="s">
        <v>69</v>
      </c>
      <c r="K9" s="10" t="s">
        <v>70</v>
      </c>
      <c r="L9" s="7" t="s">
        <v>20</v>
      </c>
      <c r="M9" s="7" t="s">
        <v>32</v>
      </c>
      <c r="N9" s="7" t="s">
        <v>45</v>
      </c>
      <c r="O9" s="7" t="s">
        <v>34</v>
      </c>
      <c r="P9" s="7" t="s">
        <v>22</v>
      </c>
      <c r="Q9" s="7" t="s">
        <v>35</v>
      </c>
      <c r="R9" s="11">
        <v>45972.0</v>
      </c>
    </row>
    <row r="10" ht="14.25" customHeight="1">
      <c r="A10" s="7" t="s">
        <v>46</v>
      </c>
      <c r="B10" s="7" t="s">
        <v>71</v>
      </c>
      <c r="C10" s="7" t="s">
        <v>72</v>
      </c>
      <c r="D10" s="7" t="s">
        <v>73</v>
      </c>
      <c r="E10" s="7" t="s">
        <v>74</v>
      </c>
      <c r="F10" s="7" t="s">
        <v>27</v>
      </c>
      <c r="G10" s="8" t="s">
        <v>75</v>
      </c>
      <c r="H10" s="9">
        <v>1.0</v>
      </c>
      <c r="I10" s="7" t="s">
        <v>76</v>
      </c>
      <c r="J10" s="7" t="s">
        <v>77</v>
      </c>
      <c r="K10" s="7" t="s">
        <v>78</v>
      </c>
      <c r="L10" s="7" t="s">
        <v>20</v>
      </c>
      <c r="M10" s="7" t="s">
        <v>32</v>
      </c>
      <c r="N10" s="7" t="s">
        <v>33</v>
      </c>
      <c r="O10" s="7" t="s">
        <v>34</v>
      </c>
      <c r="P10" s="7" t="s">
        <v>46</v>
      </c>
      <c r="Q10" s="7" t="s">
        <v>35</v>
      </c>
      <c r="R10" s="11">
        <v>45972.0</v>
      </c>
    </row>
    <row r="11" ht="14.25" customHeight="1">
      <c r="A11" s="7" t="s">
        <v>79</v>
      </c>
      <c r="B11" s="7" t="s">
        <v>80</v>
      </c>
      <c r="C11" s="7" t="s">
        <v>81</v>
      </c>
      <c r="D11" s="7" t="s">
        <v>82</v>
      </c>
      <c r="E11" s="7" t="s">
        <v>83</v>
      </c>
      <c r="F11" s="7" t="s">
        <v>27</v>
      </c>
      <c r="G11" s="8" t="s">
        <v>84</v>
      </c>
      <c r="H11" s="9">
        <v>1.0</v>
      </c>
      <c r="I11" s="7" t="s">
        <v>85</v>
      </c>
      <c r="J11" s="7" t="s">
        <v>86</v>
      </c>
      <c r="K11" s="7" t="s">
        <v>87</v>
      </c>
      <c r="L11" s="7" t="s">
        <v>20</v>
      </c>
      <c r="M11" s="7" t="s">
        <v>32</v>
      </c>
      <c r="N11" s="7" t="s">
        <v>45</v>
      </c>
      <c r="O11" s="7" t="s">
        <v>34</v>
      </c>
      <c r="P11" s="7" t="s">
        <v>79</v>
      </c>
      <c r="Q11" s="7" t="s">
        <v>35</v>
      </c>
      <c r="R11" s="11">
        <v>45972.0</v>
      </c>
    </row>
    <row r="12" ht="14.25" customHeight="1">
      <c r="A12" s="7" t="s">
        <v>36</v>
      </c>
      <c r="B12" s="7" t="s">
        <v>88</v>
      </c>
      <c r="C12" s="7" t="s">
        <v>89</v>
      </c>
      <c r="D12" s="7" t="s">
        <v>90</v>
      </c>
      <c r="E12" s="7" t="s">
        <v>91</v>
      </c>
      <c r="F12" s="7" t="s">
        <v>27</v>
      </c>
      <c r="G12" s="8" t="s">
        <v>92</v>
      </c>
      <c r="H12" s="9">
        <v>1.0</v>
      </c>
      <c r="I12" s="7" t="s">
        <v>93</v>
      </c>
      <c r="J12" s="7" t="s">
        <v>94</v>
      </c>
      <c r="K12" s="7" t="s">
        <v>95</v>
      </c>
      <c r="L12" s="7" t="s">
        <v>20</v>
      </c>
      <c r="M12" s="7" t="s">
        <v>32</v>
      </c>
      <c r="N12" s="7" t="s">
        <v>45</v>
      </c>
      <c r="O12" s="7" t="s">
        <v>34</v>
      </c>
      <c r="P12" s="7" t="s">
        <v>36</v>
      </c>
      <c r="Q12" s="7" t="s">
        <v>35</v>
      </c>
      <c r="R12" s="11">
        <v>45972.0</v>
      </c>
    </row>
    <row r="13" ht="14.25" customHeight="1">
      <c r="A13" s="7" t="s">
        <v>79</v>
      </c>
      <c r="B13" s="7" t="s">
        <v>96</v>
      </c>
      <c r="C13" s="7" t="s">
        <v>97</v>
      </c>
      <c r="D13" s="7" t="s">
        <v>98</v>
      </c>
      <c r="E13" s="7" t="s">
        <v>99</v>
      </c>
      <c r="F13" s="7" t="s">
        <v>27</v>
      </c>
      <c r="G13" s="8" t="s">
        <v>100</v>
      </c>
      <c r="H13" s="9">
        <v>1.0</v>
      </c>
      <c r="I13" s="7" t="s">
        <v>101</v>
      </c>
      <c r="J13" s="7" t="s">
        <v>102</v>
      </c>
      <c r="K13" s="7" t="s">
        <v>103</v>
      </c>
      <c r="L13" s="7" t="s">
        <v>20</v>
      </c>
      <c r="M13" s="7" t="s">
        <v>32</v>
      </c>
      <c r="N13" s="7" t="s">
        <v>45</v>
      </c>
      <c r="O13" s="7" t="s">
        <v>34</v>
      </c>
      <c r="P13" s="7" t="s">
        <v>79</v>
      </c>
      <c r="Q13" s="7" t="s">
        <v>35</v>
      </c>
      <c r="R13" s="11">
        <v>45972.0</v>
      </c>
    </row>
    <row r="14" ht="14.25" customHeight="1">
      <c r="A14" s="7" t="s">
        <v>22</v>
      </c>
      <c r="B14" s="7" t="s">
        <v>104</v>
      </c>
      <c r="C14" s="7" t="s">
        <v>105</v>
      </c>
      <c r="D14" s="7" t="s">
        <v>106</v>
      </c>
      <c r="E14" s="7" t="s">
        <v>107</v>
      </c>
      <c r="F14" s="7" t="s">
        <v>27</v>
      </c>
      <c r="G14" s="8" t="s">
        <v>108</v>
      </c>
      <c r="H14" s="9">
        <v>1.0</v>
      </c>
      <c r="I14" s="7" t="s">
        <v>109</v>
      </c>
      <c r="J14" s="7" t="s">
        <v>110</v>
      </c>
      <c r="K14" s="7" t="s">
        <v>111</v>
      </c>
      <c r="L14" s="7" t="s">
        <v>20</v>
      </c>
      <c r="M14" s="7" t="s">
        <v>32</v>
      </c>
      <c r="N14" s="7" t="s">
        <v>33</v>
      </c>
      <c r="O14" s="7" t="s">
        <v>34</v>
      </c>
      <c r="P14" s="7" t="s">
        <v>22</v>
      </c>
      <c r="Q14" s="7" t="s">
        <v>35</v>
      </c>
      <c r="R14" s="11">
        <v>45972.0</v>
      </c>
    </row>
    <row r="15" ht="14.25" customHeight="1">
      <c r="A15" s="7" t="s">
        <v>46</v>
      </c>
      <c r="B15" s="7" t="s">
        <v>112</v>
      </c>
      <c r="C15" s="7" t="s">
        <v>113</v>
      </c>
      <c r="D15" s="10" t="s">
        <v>114</v>
      </c>
      <c r="E15" s="10" t="s">
        <v>115</v>
      </c>
      <c r="F15" s="7" t="s">
        <v>27</v>
      </c>
      <c r="G15" s="8" t="s">
        <v>116</v>
      </c>
      <c r="H15" s="9">
        <v>1.0</v>
      </c>
      <c r="I15" s="7" t="s">
        <v>117</v>
      </c>
      <c r="J15" s="7" t="s">
        <v>118</v>
      </c>
      <c r="K15" s="7" t="s">
        <v>119</v>
      </c>
      <c r="L15" s="7" t="s">
        <v>20</v>
      </c>
      <c r="M15" s="7" t="s">
        <v>32</v>
      </c>
      <c r="N15" s="7" t="s">
        <v>45</v>
      </c>
      <c r="O15" s="7" t="s">
        <v>34</v>
      </c>
      <c r="P15" s="7" t="s">
        <v>46</v>
      </c>
      <c r="Q15" s="7" t="s">
        <v>35</v>
      </c>
      <c r="R15" s="11">
        <v>45972.0</v>
      </c>
    </row>
    <row r="16" ht="14.25" customHeight="1">
      <c r="A16" s="7" t="s">
        <v>79</v>
      </c>
      <c r="B16" s="7" t="s">
        <v>120</v>
      </c>
      <c r="C16" s="7" t="s">
        <v>121</v>
      </c>
      <c r="D16" s="7" t="s">
        <v>122</v>
      </c>
      <c r="E16" s="7" t="s">
        <v>123</v>
      </c>
      <c r="F16" s="7" t="s">
        <v>27</v>
      </c>
      <c r="G16" s="8" t="s">
        <v>124</v>
      </c>
      <c r="H16" s="9">
        <v>1.0</v>
      </c>
      <c r="I16" s="7" t="s">
        <v>125</v>
      </c>
      <c r="J16" s="7" t="s">
        <v>126</v>
      </c>
      <c r="K16" s="7" t="s">
        <v>127</v>
      </c>
      <c r="L16" s="7" t="s">
        <v>20</v>
      </c>
      <c r="M16" s="7" t="s">
        <v>32</v>
      </c>
      <c r="N16" s="7" t="s">
        <v>33</v>
      </c>
      <c r="O16" s="7" t="s">
        <v>34</v>
      </c>
      <c r="P16" s="7" t="s">
        <v>79</v>
      </c>
      <c r="Q16" s="7" t="s">
        <v>35</v>
      </c>
      <c r="R16" s="11">
        <v>45972.0</v>
      </c>
    </row>
    <row r="17" ht="14.25" customHeight="1">
      <c r="A17" s="7" t="s">
        <v>79</v>
      </c>
      <c r="B17" s="7" t="s">
        <v>128</v>
      </c>
      <c r="C17" s="7" t="s">
        <v>129</v>
      </c>
      <c r="D17" s="7" t="s">
        <v>130</v>
      </c>
      <c r="E17" s="7" t="s">
        <v>131</v>
      </c>
      <c r="F17" s="7" t="s">
        <v>27</v>
      </c>
      <c r="G17" s="8" t="s">
        <v>132</v>
      </c>
      <c r="H17" s="9">
        <v>1.0</v>
      </c>
      <c r="I17" s="7" t="s">
        <v>133</v>
      </c>
      <c r="J17" s="7" t="s">
        <v>134</v>
      </c>
      <c r="K17" s="7" t="s">
        <v>135</v>
      </c>
      <c r="L17" s="7" t="s">
        <v>20</v>
      </c>
      <c r="M17" s="7" t="s">
        <v>32</v>
      </c>
      <c r="N17" s="7" t="s">
        <v>45</v>
      </c>
      <c r="O17" s="7" t="s">
        <v>34</v>
      </c>
      <c r="P17" s="7" t="s">
        <v>79</v>
      </c>
      <c r="Q17" s="7" t="s">
        <v>35</v>
      </c>
      <c r="R17" s="11">
        <v>45972.0</v>
      </c>
    </row>
    <row r="18" ht="14.25" customHeight="1">
      <c r="A18" s="7" t="s">
        <v>22</v>
      </c>
      <c r="B18" s="10" t="s">
        <v>136</v>
      </c>
      <c r="C18" s="10" t="s">
        <v>137</v>
      </c>
      <c r="D18" s="7" t="s">
        <v>138</v>
      </c>
      <c r="E18" s="7" t="s">
        <v>139</v>
      </c>
      <c r="F18" s="7" t="s">
        <v>27</v>
      </c>
      <c r="G18" s="8" t="s">
        <v>140</v>
      </c>
      <c r="H18" s="9">
        <v>1.0</v>
      </c>
      <c r="I18" s="7" t="s">
        <v>141</v>
      </c>
      <c r="J18" s="7" t="s">
        <v>142</v>
      </c>
      <c r="K18" s="7" t="s">
        <v>143</v>
      </c>
      <c r="L18" s="7" t="s">
        <v>20</v>
      </c>
      <c r="M18" s="7" t="s">
        <v>32</v>
      </c>
      <c r="N18" s="7" t="s">
        <v>45</v>
      </c>
      <c r="O18" s="7" t="s">
        <v>34</v>
      </c>
      <c r="P18" s="7" t="s">
        <v>22</v>
      </c>
      <c r="Q18" s="7" t="s">
        <v>35</v>
      </c>
      <c r="R18" s="11">
        <v>45972.0</v>
      </c>
    </row>
    <row r="19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ht="14.2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ht="14.2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 ht="14.2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 ht="14.2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ht="14.2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 ht="14.2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 ht="14.2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ht="14.2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ht="14.2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ht="14.2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ht="14.2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 ht="14.2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 ht="14.2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 ht="14.2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 ht="14.2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 ht="14.2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 ht="14.2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ht="14.2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 ht="14.2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</sheetData>
  <mergeCells count="2">
    <mergeCell ref="A1:B1"/>
    <mergeCell ref="A2:B2"/>
  </mergeCells>
  <dataValidations>
    <dataValidation type="list" allowBlank="1" showErrorMessage="1" sqref="L5:L18">
      <formula1>"Aprobado,No Ejecutado,En Seguimiento,Rechazado,Obsoleto,Testeado en Mockup,No testeado en Mockup"</formula1>
    </dataValidation>
    <dataValidation type="list" allowBlank="1" showErrorMessage="1" sqref="F5:F18">
      <formula1>"Caja Negra,Caja Blanca,Hibrido"</formula1>
    </dataValidation>
    <dataValidation type="list" allowBlank="1" showErrorMessage="1" sqref="N5:N18">
      <formula1>"Alto,Medio,Bajo"</formula1>
    </dataValidation>
    <dataValidation type="list" allowBlank="1" showErrorMessage="1" sqref="Q5:Q18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2.71"/>
    <col customWidth="1" min="2" max="2" width="18.57"/>
    <col customWidth="1" min="3" max="3" width="52.71"/>
    <col customWidth="1" min="4" max="5" width="13.29"/>
    <col customWidth="1" min="6" max="6" width="18.57"/>
    <col customWidth="1" min="7" max="7" width="47.43"/>
    <col customWidth="1" min="8" max="9" width="13.29"/>
    <col customWidth="1" min="10" max="10" width="18.57"/>
    <col customWidth="1" min="11" max="11" width="6.14"/>
    <col customWidth="1" min="12" max="25" width="18.57"/>
  </cols>
  <sheetData>
    <row r="1" ht="19.5" customHeight="1">
      <c r="A1" s="13" t="s">
        <v>144</v>
      </c>
      <c r="B1" s="14"/>
      <c r="C1" s="15"/>
      <c r="D1" s="16" t="s">
        <v>145</v>
      </c>
      <c r="E1" s="17"/>
      <c r="F1" s="18"/>
      <c r="G1" s="15"/>
      <c r="H1" s="16" t="s">
        <v>146</v>
      </c>
      <c r="I1" s="17"/>
      <c r="J1" s="18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ht="19.5" customHeight="1">
      <c r="A2" s="20" t="s">
        <v>20</v>
      </c>
      <c r="B2" s="21">
        <f>COUNTIF('Plan de pruebas'!$L$5:$L$18,A2)</f>
        <v>14</v>
      </c>
      <c r="C2" s="15"/>
      <c r="D2" s="22"/>
      <c r="E2" s="23"/>
      <c r="F2" s="24"/>
      <c r="G2" s="15"/>
      <c r="H2" s="22"/>
      <c r="I2" s="23"/>
      <c r="J2" s="24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19.5" customHeight="1">
      <c r="A3" s="20" t="s">
        <v>147</v>
      </c>
      <c r="B3" s="21">
        <f>COUNTIF('Plan de pruebas'!$L$5:$L$18,A3)</f>
        <v>0</v>
      </c>
      <c r="C3" s="15"/>
      <c r="D3" s="25" t="s">
        <v>22</v>
      </c>
      <c r="E3" s="26"/>
      <c r="F3" s="27">
        <f>COUNTIF('Plan de pruebas'!$P$5:$P$18,D3)</f>
        <v>4</v>
      </c>
      <c r="G3" s="15"/>
      <c r="H3" s="25" t="s">
        <v>20</v>
      </c>
      <c r="I3" s="26"/>
      <c r="J3" s="27">
        <f>COUNTIF('Plan de pruebas'!$Q$5:$Q$18,"Si")</f>
        <v>14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ht="19.5" customHeight="1">
      <c r="A4" s="20" t="s">
        <v>148</v>
      </c>
      <c r="B4" s="21">
        <f>COUNTIF('Plan de pruebas'!$L$5:$L$18,A4)</f>
        <v>0</v>
      </c>
      <c r="C4" s="15"/>
      <c r="D4" s="25" t="s">
        <v>46</v>
      </c>
      <c r="E4" s="26"/>
      <c r="F4" s="27">
        <f>COUNTIF('Plan de pruebas'!$P$5:$P$18,D4)</f>
        <v>3</v>
      </c>
      <c r="G4" s="15"/>
      <c r="H4" s="25" t="s">
        <v>149</v>
      </c>
      <c r="I4" s="26"/>
      <c r="J4" s="27">
        <f>COUNTIF('Plan de pruebas'!$Q$5:$Q$18,"No")</f>
        <v>0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9.5" customHeight="1">
      <c r="A5" s="20" t="s">
        <v>150</v>
      </c>
      <c r="B5" s="21">
        <f>COUNTIF('Plan de pruebas'!$L$5:$L$18,A5)</f>
        <v>0</v>
      </c>
      <c r="C5" s="15"/>
      <c r="D5" s="25" t="s">
        <v>79</v>
      </c>
      <c r="E5" s="26"/>
      <c r="F5" s="27">
        <f>COUNTIF('Plan de pruebas'!$P$5:$P$18,D5)</f>
        <v>4</v>
      </c>
      <c r="G5" s="15"/>
      <c r="H5" s="15"/>
      <c r="I5" s="15"/>
      <c r="J5" s="2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19.5" customHeight="1">
      <c r="A6" s="20" t="s">
        <v>151</v>
      </c>
      <c r="B6" s="21">
        <f>COUNTIF('Plan de pruebas'!$L$5:$L$18,A6)</f>
        <v>0</v>
      </c>
      <c r="C6" s="15"/>
      <c r="D6" s="29" t="s">
        <v>36</v>
      </c>
      <c r="E6" s="30"/>
      <c r="F6" s="31">
        <f>COUNTIF('Plan de pruebas'!$P$5:$P$18,D6)</f>
        <v>3</v>
      </c>
      <c r="G6" s="15"/>
      <c r="H6" s="15"/>
      <c r="I6" s="15"/>
      <c r="J6" s="28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19.5" customHeight="1">
      <c r="A7" s="20" t="s">
        <v>152</v>
      </c>
      <c r="B7" s="21">
        <f>COUNTIF('Plan de pruebas'!$L$5:$L$18,"Testeado en Mockup")</f>
        <v>0</v>
      </c>
      <c r="C7" s="15"/>
      <c r="D7" s="15"/>
      <c r="E7" s="15"/>
      <c r="F7" s="28"/>
      <c r="G7" s="15"/>
      <c r="H7" s="15"/>
      <c r="I7" s="15"/>
      <c r="J7" s="28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ht="19.5" customHeight="1">
      <c r="A8" s="32" t="s">
        <v>153</v>
      </c>
      <c r="B8" s="33">
        <f>COUNTIF('Plan de pruebas'!$L$5:$L$18,"No Testeado en Mockup")</f>
        <v>0</v>
      </c>
      <c r="C8" s="15"/>
      <c r="D8" s="15"/>
      <c r="E8" s="15"/>
      <c r="F8" s="28"/>
      <c r="G8" s="15"/>
      <c r="H8" s="15"/>
      <c r="I8" s="15"/>
      <c r="J8" s="28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19.5" customHeight="1">
      <c r="A9" s="19"/>
      <c r="B9" s="19"/>
      <c r="C9" s="19"/>
      <c r="D9" s="15"/>
      <c r="E9" s="15"/>
      <c r="F9" s="15"/>
      <c r="G9" s="15"/>
      <c r="H9" s="34" t="s">
        <v>154</v>
      </c>
      <c r="I9" s="35"/>
      <c r="J9" s="36">
        <f>SUM(J3:J5)</f>
        <v>14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19.5" customHeight="1">
      <c r="A10" s="37" t="s">
        <v>155</v>
      </c>
      <c r="B10" s="38">
        <f>SUM(B2:B6)</f>
        <v>14</v>
      </c>
      <c r="C10" s="19"/>
      <c r="D10" s="34" t="s">
        <v>154</v>
      </c>
      <c r="E10" s="35"/>
      <c r="F10" s="36">
        <f>SUM(F3:F6)</f>
        <v>14</v>
      </c>
      <c r="G10" s="15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19.5" customHeight="1">
      <c r="A11" s="19"/>
      <c r="B11" s="19"/>
      <c r="C11" s="19"/>
      <c r="G11" s="15"/>
      <c r="H11" s="39" t="s">
        <v>156</v>
      </c>
      <c r="I11" s="40"/>
      <c r="J11" s="41">
        <f>J3/J9</f>
        <v>1</v>
      </c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19.5" customHeight="1">
      <c r="A12" s="42" t="s">
        <v>157</v>
      </c>
      <c r="B12" s="41">
        <f>B2/B10</f>
        <v>1</v>
      </c>
      <c r="C12" s="15"/>
      <c r="D12" s="15"/>
      <c r="E12" s="15"/>
      <c r="F12" s="15"/>
      <c r="G12" s="15"/>
      <c r="H12" s="43"/>
      <c r="I12" s="44"/>
      <c r="J12" s="45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19.5" customHeight="1">
      <c r="A13" s="45"/>
      <c r="B13" s="45"/>
      <c r="C13" s="15"/>
      <c r="D13" s="15"/>
      <c r="E13" s="15"/>
      <c r="F13" s="15"/>
      <c r="G13" s="15"/>
      <c r="H13" s="15"/>
      <c r="I13" s="15"/>
      <c r="J13" s="15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19.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19.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19.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19.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19.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19.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9.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19.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19.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9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19.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19.5" customHeight="1">
      <c r="A25" s="15"/>
      <c r="B25" s="15"/>
      <c r="C25" s="15"/>
      <c r="D25" s="15"/>
      <c r="E25" s="15"/>
      <c r="F25" s="15"/>
      <c r="G25" s="15"/>
      <c r="H25" s="15"/>
      <c r="I25" s="15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19.5" customHeight="1">
      <c r="A26" s="15"/>
      <c r="B26" s="15"/>
      <c r="C26" s="15"/>
      <c r="D26" s="15"/>
      <c r="E26" s="15"/>
      <c r="F26" s="15"/>
      <c r="G26" s="15"/>
      <c r="H26" s="15"/>
      <c r="I26" s="15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19.5" customHeight="1">
      <c r="A27" s="15"/>
      <c r="B27" s="15"/>
      <c r="C27" s="15"/>
      <c r="D27" s="15"/>
      <c r="E27" s="15"/>
      <c r="F27" s="15"/>
      <c r="G27" s="15"/>
      <c r="H27" s="15"/>
      <c r="I27" s="15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19.5" customHeight="1">
      <c r="A28" s="15"/>
      <c r="B28" s="15"/>
      <c r="C28" s="15"/>
      <c r="D28" s="15"/>
      <c r="E28" s="15"/>
      <c r="F28" s="15"/>
      <c r="G28" s="15"/>
      <c r="H28" s="15"/>
      <c r="I28" s="15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19.5" customHeight="1">
      <c r="A29" s="15"/>
      <c r="B29" s="15"/>
      <c r="C29" s="15"/>
      <c r="D29" s="15"/>
      <c r="E29" s="15"/>
      <c r="F29" s="15"/>
      <c r="G29" s="15"/>
      <c r="H29" s="15"/>
      <c r="I29" s="15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ht="19.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ht="19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ht="19.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ht="19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ht="19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ht="19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ht="19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ht="19.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ht="19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ht="19.5" customHeight="1">
      <c r="A39" s="19"/>
      <c r="B39" s="19"/>
      <c r="C39" s="19"/>
      <c r="D39" s="19"/>
      <c r="E39" s="19"/>
      <c r="F39" s="19"/>
      <c r="G39" s="15"/>
      <c r="H39" s="15"/>
      <c r="I39" s="15"/>
      <c r="J39" s="15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ht="19.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ht="19.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ht="19.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ht="19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ht="19.5" customHeight="1">
      <c r="A44" s="15"/>
      <c r="B44" s="15"/>
      <c r="C44" s="15"/>
      <c r="D44" s="19"/>
      <c r="E44" s="19"/>
      <c r="F44" s="19"/>
      <c r="G44" s="19"/>
      <c r="H44" s="19"/>
      <c r="I44" s="19"/>
      <c r="J44" s="15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ht="19.5" customHeight="1">
      <c r="A45" s="15"/>
      <c r="B45" s="15"/>
      <c r="C45" s="15"/>
      <c r="D45" s="15"/>
      <c r="E45" s="19"/>
      <c r="F45" s="19"/>
      <c r="G45" s="19"/>
      <c r="H45" s="19"/>
      <c r="I45" s="19"/>
      <c r="J45" s="15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ht="19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ht="19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ht="19.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ht="19.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ht="19.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ht="19.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ht="19.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ht="19.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ht="19.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ht="19.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ht="19.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ht="19.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ht="19.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ht="19.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ht="19.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ht="19.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ht="19.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ht="19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ht="19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ht="19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ht="19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ht="19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ht="19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ht="19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ht="19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ht="19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ht="19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ht="19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ht="19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ht="19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ht="19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ht="19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ht="19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ht="19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ht="19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ht="19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ht="19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ht="19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ht="19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ht="19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ht="19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ht="19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ht="19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ht="19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ht="19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ht="19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ht="19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ht="19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ht="19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ht="19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ht="19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ht="19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ht="19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ht="19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ht="19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ht="19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ht="19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ht="19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ht="19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ht="19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ht="19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ht="19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ht="19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ht="19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ht="19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ht="19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ht="19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ht="19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ht="19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ht="19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ht="19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ht="19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ht="19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ht="19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ht="19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ht="19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ht="19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ht="19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ht="19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ht="19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ht="19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ht="19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ht="19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ht="19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ht="19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ht="19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ht="19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ht="19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ht="19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ht="19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ht="19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ht="19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ht="19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ht="19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ht="19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ht="19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ht="19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ht="19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ht="19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ht="19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ht="19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ht="19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ht="19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ht="19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ht="19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ht="19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ht="19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ht="19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ht="19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ht="19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ht="19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ht="19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ht="19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ht="19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ht="19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ht="19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ht="19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ht="19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ht="19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ht="19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ht="19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ht="19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ht="19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ht="19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ht="19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ht="19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ht="19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ht="19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ht="19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ht="19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ht="19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ht="19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ht="19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ht="19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ht="19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ht="19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ht="19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ht="19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ht="19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ht="19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ht="19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ht="19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ht="19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ht="19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ht="19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ht="19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ht="19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ht="19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ht="19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ht="19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ht="19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ht="19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ht="19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ht="19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ht="19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ht="19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ht="19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ht="19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ht="19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ht="19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ht="19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ht="19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ht="19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ht="19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ht="19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ht="19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ht="19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ht="19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ht="19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ht="19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ht="19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ht="19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ht="19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ht="19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ht="19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ht="19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ht="19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ht="19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ht="19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ht="19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ht="19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ht="19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ht="19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ht="19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ht="19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ht="19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ht="19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ht="19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ht="19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ht="19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ht="19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ht="19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ht="19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ht="19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ht="19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ht="19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ht="19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ht="19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ht="19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ht="19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ht="19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ht="19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ht="19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ht="19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ht="19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ht="19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ht="19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ht="19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ht="19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ht="19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ht="19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ht="19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ht="19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ht="19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ht="19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ht="19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ht="19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ht="19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ht="19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ht="19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ht="19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ht="19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ht="19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ht="19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ht="19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ht="19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ht="19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ht="19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ht="19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ht="19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ht="19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ht="19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ht="19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ht="19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ht="19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ht="19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ht="19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ht="19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ht="19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ht="19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ht="19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ht="19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ht="19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ht="19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ht="19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ht="19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ht="19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ht="19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ht="19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ht="19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ht="19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ht="19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ht="19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ht="19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ht="19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ht="19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ht="19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ht="19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ht="19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ht="19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ht="19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ht="19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ht="19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ht="19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ht="19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ht="19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ht="19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ht="19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ht="19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ht="19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ht="19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ht="19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ht="19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ht="19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ht="19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ht="19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ht="19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ht="19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ht="19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ht="19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ht="19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ht="19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ht="19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ht="19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ht="19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ht="19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ht="19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ht="19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ht="19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ht="19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ht="19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ht="19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ht="19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ht="19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ht="19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ht="19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ht="19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ht="19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ht="19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ht="19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ht="19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ht="19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ht="19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ht="19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ht="19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ht="19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ht="19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ht="19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ht="19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ht="19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ht="19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ht="19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ht="19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ht="19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ht="19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ht="19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ht="19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ht="19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ht="19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ht="19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ht="19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ht="19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ht="19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ht="19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ht="19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ht="19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ht="19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ht="19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ht="19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ht="19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ht="19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ht="19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ht="19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ht="19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ht="19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ht="19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ht="19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ht="19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ht="19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ht="19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ht="19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ht="19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ht="19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ht="19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ht="19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ht="19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ht="19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ht="19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ht="19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ht="19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ht="19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ht="19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ht="19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ht="19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ht="19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ht="19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ht="19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ht="19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ht="19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ht="19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ht="19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ht="19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ht="19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ht="19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ht="19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ht="19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ht="19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ht="19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ht="19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ht="19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ht="19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ht="19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ht="19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ht="19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ht="19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ht="19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ht="19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ht="19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ht="19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ht="19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ht="19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ht="19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ht="19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ht="19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ht="19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ht="19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ht="19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ht="19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ht="19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ht="19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ht="19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ht="19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ht="19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ht="19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ht="19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ht="19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ht="19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ht="19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ht="19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ht="19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ht="19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ht="19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ht="19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ht="19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ht="19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ht="19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ht="19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ht="19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ht="19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ht="19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ht="19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ht="19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ht="19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ht="19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ht="19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ht="19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ht="19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ht="19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ht="19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ht="19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ht="19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ht="19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ht="19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ht="19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ht="19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ht="19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ht="19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ht="19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ht="19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ht="19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ht="19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ht="19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ht="19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ht="19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ht="19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ht="19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ht="19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ht="19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ht="19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ht="19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ht="19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ht="19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ht="19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ht="19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ht="19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ht="19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ht="19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ht="19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ht="19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ht="19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ht="19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ht="19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ht="19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ht="19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ht="19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ht="19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ht="19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ht="19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ht="19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ht="19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ht="19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ht="19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ht="19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ht="19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ht="19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ht="19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ht="19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ht="19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ht="19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ht="19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ht="19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ht="19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ht="19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ht="19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ht="19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ht="19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ht="19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ht="19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ht="19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ht="19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ht="19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ht="19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ht="19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ht="19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ht="19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ht="19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ht="19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ht="19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ht="19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ht="19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ht="19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ht="19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ht="19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ht="19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ht="19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ht="19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ht="19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ht="19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ht="19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ht="19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ht="19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ht="19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ht="19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ht="19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ht="19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ht="19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ht="19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ht="19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ht="19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ht="19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ht="19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ht="19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ht="19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ht="19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ht="19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ht="19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ht="19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ht="19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ht="19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ht="19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ht="19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ht="19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ht="19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ht="19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ht="19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ht="19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ht="19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ht="19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ht="19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ht="19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ht="19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ht="19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ht="19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ht="19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ht="19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ht="19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ht="19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ht="19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ht="19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ht="19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ht="19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ht="19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ht="19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ht="19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ht="19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ht="19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ht="19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ht="19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ht="19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ht="19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ht="19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ht="19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ht="19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ht="19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ht="19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ht="19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ht="19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ht="19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ht="19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ht="19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ht="19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ht="19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ht="19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ht="19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ht="19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ht="19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ht="19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ht="19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ht="19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ht="19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ht="19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ht="19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ht="19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ht="19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ht="19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ht="19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ht="19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ht="19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ht="19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ht="19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ht="19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ht="19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ht="19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ht="19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ht="19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ht="19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ht="19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ht="19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ht="19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ht="19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ht="19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ht="19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ht="19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ht="19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ht="19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ht="19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ht="19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ht="19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ht="19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ht="19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ht="19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ht="19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ht="19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ht="19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ht="19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ht="19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ht="19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ht="19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ht="19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ht="19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ht="19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ht="19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ht="19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ht="19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ht="19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ht="19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ht="19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ht="19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ht="19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ht="19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ht="19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ht="19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ht="19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ht="19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ht="19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ht="19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ht="19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ht="19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ht="19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ht="19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ht="19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ht="19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ht="19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ht="19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ht="19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ht="19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ht="19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ht="19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ht="19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ht="19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ht="19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ht="19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ht="19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ht="19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ht="19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ht="19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ht="19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ht="19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ht="19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ht="19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ht="19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ht="19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ht="19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ht="19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ht="19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ht="19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ht="19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ht="19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ht="19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ht="19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ht="19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ht="19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ht="19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ht="19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ht="19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ht="19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ht="19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ht="19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ht="19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ht="19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ht="19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ht="19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ht="19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ht="19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ht="19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ht="19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ht="19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ht="19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ht="19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ht="19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ht="19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ht="19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ht="19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ht="19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ht="19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ht="19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ht="19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ht="19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ht="19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ht="19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ht="19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ht="19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ht="19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ht="19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ht="19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ht="19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ht="19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ht="19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ht="19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ht="19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ht="19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ht="19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ht="19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ht="19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ht="19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ht="19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ht="19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ht="19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ht="19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ht="19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ht="19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ht="19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ht="19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ht="19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ht="19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ht="19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ht="19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ht="19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ht="19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ht="19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ht="19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ht="19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ht="19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ht="19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ht="19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ht="19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ht="19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ht="19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ht="19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ht="19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ht="19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ht="19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ht="19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ht="19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ht="19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ht="19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ht="19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ht="19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ht="19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ht="19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ht="19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ht="19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ht="19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ht="19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ht="19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ht="19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ht="19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ht="19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ht="19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ht="19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ht="19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ht="19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ht="19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ht="19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ht="19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ht="19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ht="19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ht="19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ht="19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ht="19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ht="19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ht="19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ht="19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ht="19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ht="19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ht="19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ht="19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ht="19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ht="19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ht="19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ht="19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ht="19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ht="19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ht="19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ht="19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ht="19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ht="19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ht="19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ht="19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ht="19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ht="19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ht="19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ht="19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ht="19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ht="19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ht="19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ht="19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ht="19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ht="19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ht="19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ht="19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ht="19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ht="19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ht="19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ht="19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ht="19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ht="19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ht="19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ht="19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ht="19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ht="19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ht="19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ht="19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ht="19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ht="19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ht="19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ht="19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ht="19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ht="19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ht="19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ht="19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ht="19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ht="19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ht="19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ht="19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ht="19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ht="19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ht="19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ht="19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ht="19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ht="19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ht="19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ht="19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ht="19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ht="19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ht="19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ht="19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ht="19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ht="19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ht="19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ht="19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ht="19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ht="19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ht="19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ht="19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ht="19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ht="19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ht="19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ht="19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ht="19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ht="19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ht="19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ht="19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ht="19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ht="19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ht="19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ht="19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ht="19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ht="19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ht="19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ht="19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ht="19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ht="19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ht="19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ht="19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ht="19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ht="19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ht="19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ht="19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ht="19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ht="19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ht="19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ht="19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ht="19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ht="19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ht="19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ht="19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ht="19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ht="19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ht="19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ht="19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ht="19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ht="19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ht="19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ht="19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ht="19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ht="19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ht="19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ht="19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ht="19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ht="19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ht="19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ht="19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ht="19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ht="19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ht="19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ht="19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ht="19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ht="19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ht="19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ht="19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ht="19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ht="19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ht="19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ht="19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ht="19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ht="19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ht="19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ht="19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ht="19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ht="19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ht="19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ht="19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ht="19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ht="19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ht="19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ht="19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ht="19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ht="19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ht="19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ht="19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ht="19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ht="19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ht="19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ht="19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ht="19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ht="19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ht="19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ht="19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ht="19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ht="19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ht="19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ht="19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ht="19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ht="19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ht="19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ht="19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ht="19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ht="19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ht="19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ht="19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ht="19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ht="19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ht="19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ht="19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ht="19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ht="19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ht="19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ht="19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ht="19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ht="19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ht="19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ht="19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ht="19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ht="19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ht="19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ht="19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ht="19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ht="19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ht="19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ht="19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ht="19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ht="19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ht="19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ht="19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  <row r="1001" ht="19.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</row>
    <row r="1002" ht="19.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</row>
    <row r="1003" ht="19.5" customHeight="1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</row>
  </sheetData>
  <mergeCells count="15">
    <mergeCell ref="D5:E5"/>
    <mergeCell ref="D6:E6"/>
    <mergeCell ref="H9:I9"/>
    <mergeCell ref="D10:E10"/>
    <mergeCell ref="H11:I12"/>
    <mergeCell ref="J11:J12"/>
    <mergeCell ref="A12:A13"/>
    <mergeCell ref="B12:B13"/>
    <mergeCell ref="A1:B1"/>
    <mergeCell ref="D1:F2"/>
    <mergeCell ref="H1:J2"/>
    <mergeCell ref="D3:E3"/>
    <mergeCell ref="H3:I3"/>
    <mergeCell ref="D4:E4"/>
    <mergeCell ref="H4:I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2023-06-30T21:13:15Z</dcterms:created>
  <dc:creator>Guzman Bozo, Jorge</dc:creator>
</cp:coreProperties>
</file>